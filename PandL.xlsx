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jmiskel/Desktop/"/>
    </mc:Choice>
  </mc:AlternateContent>
  <xr:revisionPtr revIDLastSave="0" documentId="8_{9E90DA33-84B6-CB46-8C41-482362DC9441}" xr6:coauthVersionLast="47" xr6:coauthVersionMax="47" xr10:uidLastSave="{00000000-0000-0000-0000-000000000000}"/>
  <bookViews>
    <workbookView xWindow="13000" yWindow="500" windowWidth="13620" windowHeight="15880" activeTab="2" xr2:uid="{AE075125-D948-2A47-A5BE-26156E8B368C}"/>
  </bookViews>
  <sheets>
    <sheet name="Вводные" sheetId="1" r:id="rId1"/>
    <sheet name="P&amp;L (расчёт)" sheetId="2" r:id="rId2"/>
    <sheet name="Сценарии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B13" i="3"/>
  <c r="D11" i="3"/>
  <c r="D12" i="3"/>
  <c r="C12" i="3"/>
  <c r="B12" i="3"/>
  <c r="B8" i="2"/>
  <c r="B7" i="2"/>
  <c r="B10" i="2" s="1"/>
  <c r="B6" i="2"/>
  <c r="B3" i="2"/>
  <c r="B12" i="2" l="1"/>
  <c r="E13" i="3"/>
  <c r="E12" i="3"/>
  <c r="E11" i="3" l="1"/>
  <c r="B14" i="2"/>
</calcChain>
</file>

<file path=xl/sharedStrings.xml><?xml version="1.0" encoding="utf-8"?>
<sst xmlns="http://schemas.openxmlformats.org/spreadsheetml/2006/main" count="32" uniqueCount="32">
  <si>
    <t>Параметр</t>
  </si>
  <si>
    <t>Значение</t>
  </si>
  <si>
    <t>Количество заказов в день</t>
  </si>
  <si>
    <t>Средний чек (AOV)</t>
  </si>
  <si>
    <t>Комиссия ресторана (доход Яндекса)</t>
  </si>
  <si>
    <t>Расход на доставку на 1 заказ</t>
  </si>
  <si>
    <t>Промо-расходы (% от выручки)</t>
  </si>
  <si>
    <t>Постоянные расходы (в день)</t>
  </si>
  <si>
    <t>P&amp;L Яндекс Еда (за 1 день)</t>
  </si>
  <si>
    <t>Выручка</t>
  </si>
  <si>
    <t>Расходы</t>
  </si>
  <si>
    <t>— Доставка</t>
  </si>
  <si>
    <t>— Промо</t>
  </si>
  <si>
    <t>— Постоянные расходы</t>
  </si>
  <si>
    <t>Итого расходы</t>
  </si>
  <si>
    <t>Операционная прибыль (EBIT)</t>
  </si>
  <si>
    <t>Маржинальность</t>
  </si>
  <si>
    <t xml:space="preserve">Сценарий </t>
  </si>
  <si>
    <t>Заказы</t>
  </si>
  <si>
    <t>Средний чек</t>
  </si>
  <si>
    <t>Промо</t>
  </si>
  <si>
    <t>Прибыль</t>
  </si>
  <si>
    <t xml:space="preserve">Базовый </t>
  </si>
  <si>
    <t xml:space="preserve">Оптимистичный </t>
  </si>
  <si>
    <t xml:space="preserve">Пессимистичный </t>
  </si>
  <si>
    <t>Анализ сценариев P&amp;L — Яндекс Еда</t>
  </si>
  <si>
    <t>Ключевые выводы:</t>
  </si>
  <si>
    <t>Базовый сценарий: прибыль 250 тысяч.</t>
  </si>
  <si>
    <t>Оптимистичный: заказы +5%, чек вырос до 773 ₽, прибыль уже 906 тысяч.</t>
  </si>
  <si>
    <t>Пессимистичный: заказы упали на 5%, пришлось поднять промо до 10% — бизнес уходит в убыток около 219 тысяч.</t>
  </si>
  <si>
    <t>Трёхсценарный P&amp;L для Яндекс Еды на один день.</t>
  </si>
  <si>
    <t>Промо выше 8–9% при падении заказов критично. Модель позволяет быстро перебирать сценарии и видеть точку безубыточности.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</si>
</sst>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* #,##0\ [$₽-419]_-;\-* #,##0\ [$₽-419]_-;_-* &quot;-&quot;??\ [$₽-419]_-;_-@_-"/>
  </numFmts>
  <fonts count="9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rgb="FF0F1115"/>
      <name val="Times New Roman"/>
      <family val="1"/>
    </font>
    <font>
      <sz val="18"/>
      <color theme="1"/>
      <name val="Times New Roman"/>
      <family val="1"/>
    </font>
    <font>
      <sz val="18"/>
      <color rgb="FF0F1115"/>
      <name val="Times New Roman"/>
      <family val="1"/>
    </font>
    <font>
      <b/>
      <sz val="18"/>
      <color rgb="FF0F1115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3" applyNumberFormat="1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9" fontId="4" fillId="0" borderId="0" xfId="0" applyNumberFormat="1" applyFont="1" applyAlignment="1">
      <alignment horizontal="left"/>
    </xf>
    <xf numFmtId="166" fontId="3" fillId="0" borderId="0" xfId="0" applyNumberFormat="1" applyFont="1"/>
    <xf numFmtId="9" fontId="3" fillId="0" borderId="0" xfId="0" applyNumberFormat="1" applyFont="1"/>
    <xf numFmtId="166" fontId="3" fillId="0" borderId="0" xfId="1" applyNumberFormat="1" applyFont="1"/>
    <xf numFmtId="164" fontId="3" fillId="0" borderId="0" xfId="0" applyNumberFormat="1" applyFont="1"/>
    <xf numFmtId="166" fontId="3" fillId="0" borderId="0" xfId="2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8" fillId="0" borderId="0" xfId="0" applyFont="1"/>
    <xf numFmtId="0" fontId="7" fillId="0" borderId="0" xfId="0" applyFont="1"/>
  </cellXfs>
  <cellStyles count="4">
    <cellStyle name="Денежный" xfId="2" builtinId="4"/>
    <cellStyle name="Обычный" xfId="0" builtinId="0"/>
    <cellStyle name="Процентный" xfId="3" builtinId="5"/>
    <cellStyle name="Финансовый" xfId="1" builtinId="3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F1115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F1115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F1115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F1115"/>
        <name val="Times New Roman"/>
        <family val="1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B0AF6-D17B-A440-8C8A-EE0D1C29516A}" name="Таблица1" displayName="Таблица1" ref="A1:B7" totalsRowShown="0" headerRowDxfId="3" dataDxfId="2">
  <autoFilter ref="A1:B7" xr:uid="{CABB0AF6-D17B-A440-8C8A-EE0D1C29516A}"/>
  <tableColumns count="2">
    <tableColumn id="1" xr3:uid="{862CAB4E-EB71-1744-8E80-3BF207A8C169}" name="Параметр" dataDxfId="1"/>
    <tableColumn id="2" xr3:uid="{E00C3EC1-FFDC-A244-8EA2-425B13B900AE}" name="Значе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8AD8-F95E-384E-8098-60CB6F26D9F0}">
  <dimension ref="A1:B7"/>
  <sheetViews>
    <sheetView workbookViewId="0">
      <selection activeCell="B24" sqref="B24"/>
    </sheetView>
  </sheetViews>
  <sheetFormatPr baseColWidth="10" defaultRowHeight="16" x14ac:dyDescent="0.2"/>
  <cols>
    <col min="1" max="1" width="51.33203125" customWidth="1"/>
    <col min="2" max="2" width="19.83203125" customWidth="1"/>
  </cols>
  <sheetData>
    <row r="1" spans="1:2" ht="23" x14ac:dyDescent="0.25">
      <c r="A1" s="7" t="s">
        <v>0</v>
      </c>
      <c r="B1" s="7" t="s">
        <v>1</v>
      </c>
    </row>
    <row r="2" spans="1:2" ht="23" x14ac:dyDescent="0.25">
      <c r="A2" s="8" t="s">
        <v>2</v>
      </c>
      <c r="B2" s="8">
        <v>100000</v>
      </c>
    </row>
    <row r="3" spans="1:2" ht="23" x14ac:dyDescent="0.25">
      <c r="A3" s="8" t="s">
        <v>3</v>
      </c>
      <c r="B3" s="8">
        <v>750</v>
      </c>
    </row>
    <row r="4" spans="1:2" ht="23" x14ac:dyDescent="0.25">
      <c r="A4" s="8" t="s">
        <v>4</v>
      </c>
      <c r="B4" s="9">
        <v>0.25</v>
      </c>
    </row>
    <row r="5" spans="1:2" ht="23" x14ac:dyDescent="0.25">
      <c r="A5" s="8" t="s">
        <v>5</v>
      </c>
      <c r="B5" s="8">
        <v>150</v>
      </c>
    </row>
    <row r="6" spans="1:2" ht="23" x14ac:dyDescent="0.25">
      <c r="A6" s="8" t="s">
        <v>6</v>
      </c>
      <c r="B6" s="9">
        <v>0.08</v>
      </c>
    </row>
    <row r="7" spans="1:2" ht="23" x14ac:dyDescent="0.25">
      <c r="A7" s="8" t="s">
        <v>7</v>
      </c>
      <c r="B7" s="8">
        <v>2000000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8C16-8CD4-A64F-93BB-CC4D87335137}">
  <dimension ref="A1:B14"/>
  <sheetViews>
    <sheetView workbookViewId="0">
      <selection activeCell="F5" sqref="F5"/>
    </sheetView>
  </sheetViews>
  <sheetFormatPr baseColWidth="10" defaultRowHeight="16" x14ac:dyDescent="0.2"/>
  <cols>
    <col min="1" max="1" width="45.5" customWidth="1"/>
    <col min="2" max="2" width="31.33203125" customWidth="1"/>
  </cols>
  <sheetData>
    <row r="1" spans="1:2" ht="23" x14ac:dyDescent="0.25">
      <c r="A1" s="1" t="s">
        <v>8</v>
      </c>
      <c r="B1" s="2"/>
    </row>
    <row r="2" spans="1:2" ht="23" x14ac:dyDescent="0.25">
      <c r="A2" s="2"/>
      <c r="B2" s="2"/>
    </row>
    <row r="3" spans="1:2" ht="23" x14ac:dyDescent="0.25">
      <c r="A3" s="3" t="s">
        <v>9</v>
      </c>
      <c r="B3" s="4">
        <f>Вводные!B2*Вводные!B3*Вводные!B4</f>
        <v>18750000</v>
      </c>
    </row>
    <row r="4" spans="1:2" ht="23" x14ac:dyDescent="0.25">
      <c r="A4" s="2"/>
      <c r="B4" s="4"/>
    </row>
    <row r="5" spans="1:2" ht="23" x14ac:dyDescent="0.25">
      <c r="A5" s="2" t="s">
        <v>10</v>
      </c>
      <c r="B5" s="4"/>
    </row>
    <row r="6" spans="1:2" ht="23" x14ac:dyDescent="0.25">
      <c r="A6" s="3" t="s">
        <v>11</v>
      </c>
      <c r="B6" s="4">
        <f>Вводные!B2*Вводные!B5</f>
        <v>15000000</v>
      </c>
    </row>
    <row r="7" spans="1:2" ht="23" x14ac:dyDescent="0.25">
      <c r="A7" s="3" t="s">
        <v>12</v>
      </c>
      <c r="B7" s="4">
        <f>B3*Вводные!B6</f>
        <v>1500000</v>
      </c>
    </row>
    <row r="8" spans="1:2" ht="23" x14ac:dyDescent="0.25">
      <c r="A8" s="3" t="s">
        <v>13</v>
      </c>
      <c r="B8" s="4">
        <f>Вводные!B7</f>
        <v>2000000</v>
      </c>
    </row>
    <row r="9" spans="1:2" ht="23" x14ac:dyDescent="0.25">
      <c r="A9" s="2"/>
      <c r="B9" s="4"/>
    </row>
    <row r="10" spans="1:2" ht="23" x14ac:dyDescent="0.25">
      <c r="A10" s="3" t="s">
        <v>14</v>
      </c>
      <c r="B10" s="4">
        <f>SUM(B6:B8)</f>
        <v>18500000</v>
      </c>
    </row>
    <row r="11" spans="1:2" ht="23" x14ac:dyDescent="0.25">
      <c r="A11" s="2"/>
      <c r="B11" s="4"/>
    </row>
    <row r="12" spans="1:2" ht="23" x14ac:dyDescent="0.25">
      <c r="A12" s="3" t="s">
        <v>15</v>
      </c>
      <c r="B12" s="4">
        <f>B3-B10</f>
        <v>250000</v>
      </c>
    </row>
    <row r="13" spans="1:2" ht="23" x14ac:dyDescent="0.25">
      <c r="A13" s="2"/>
      <c r="B13" s="5"/>
    </row>
    <row r="14" spans="1:2" ht="23" x14ac:dyDescent="0.25">
      <c r="A14" s="3" t="s">
        <v>16</v>
      </c>
      <c r="B14" s="6">
        <f>B12/B3</f>
        <v>1.3333333333333334E-2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1009-1348-D847-98F1-932BB5DB1E51}">
  <dimension ref="A1:E22"/>
  <sheetViews>
    <sheetView tabSelected="1" workbookViewId="0">
      <selection activeCell="A21" sqref="A21"/>
    </sheetView>
  </sheetViews>
  <sheetFormatPr baseColWidth="10" defaultRowHeight="16" x14ac:dyDescent="0.2"/>
  <cols>
    <col min="1" max="1" width="30.83203125" customWidth="1"/>
    <col min="2" max="2" width="19" customWidth="1"/>
    <col min="3" max="3" width="20.6640625" customWidth="1"/>
    <col min="4" max="4" width="15.33203125" customWidth="1"/>
    <col min="5" max="5" width="18" customWidth="1"/>
  </cols>
  <sheetData>
    <row r="1" spans="1:5" ht="18" x14ac:dyDescent="0.2">
      <c r="A1" s="17" t="s">
        <v>25</v>
      </c>
    </row>
    <row r="2" spans="1:5" ht="18" x14ac:dyDescent="0.2">
      <c r="A2" s="18" t="s">
        <v>30</v>
      </c>
    </row>
    <row r="3" spans="1:5" ht="18" x14ac:dyDescent="0.2">
      <c r="A3" s="18"/>
    </row>
    <row r="4" spans="1:5" ht="18" x14ac:dyDescent="0.2">
      <c r="A4" s="17" t="s">
        <v>26</v>
      </c>
    </row>
    <row r="5" spans="1:5" ht="18" x14ac:dyDescent="0.2">
      <c r="A5" s="18" t="s">
        <v>27</v>
      </c>
    </row>
    <row r="6" spans="1:5" ht="18" x14ac:dyDescent="0.2">
      <c r="A6" s="18" t="s">
        <v>28</v>
      </c>
    </row>
    <row r="7" spans="1:5" ht="18" x14ac:dyDescent="0.2">
      <c r="A7" s="18" t="s">
        <v>29</v>
      </c>
    </row>
    <row r="8" spans="1:5" ht="18" x14ac:dyDescent="0.2">
      <c r="A8" s="18" t="s">
        <v>31</v>
      </c>
    </row>
    <row r="10" spans="1:5" ht="23" x14ac:dyDescent="0.25">
      <c r="A10" s="15" t="s">
        <v>17</v>
      </c>
      <c r="B10" s="15" t="s">
        <v>18</v>
      </c>
      <c r="C10" s="15" t="s">
        <v>19</v>
      </c>
      <c r="D10" s="15" t="s">
        <v>20</v>
      </c>
      <c r="E10" s="15" t="s">
        <v>21</v>
      </c>
    </row>
    <row r="11" spans="1:5" ht="23" x14ac:dyDescent="0.25">
      <c r="A11" s="2" t="s">
        <v>22</v>
      </c>
      <c r="B11" s="4">
        <v>100000</v>
      </c>
      <c r="C11" s="10">
        <v>750</v>
      </c>
      <c r="D11" s="11">
        <f>Вводные!B6</f>
        <v>0.08</v>
      </c>
      <c r="E11" s="4">
        <f>'P&amp;L (расчёт)'!B12</f>
        <v>250000</v>
      </c>
    </row>
    <row r="12" spans="1:5" ht="23" x14ac:dyDescent="0.25">
      <c r="A12" s="2" t="s">
        <v>23</v>
      </c>
      <c r="B12" s="4">
        <f>B11*1.05</f>
        <v>105000</v>
      </c>
      <c r="C12" s="12">
        <f>C11*1.03</f>
        <v>772.5</v>
      </c>
      <c r="D12" s="11">
        <f>Вводные!B6</f>
        <v>0.08</v>
      </c>
      <c r="E12" s="13">
        <f>(B12*C12*0.25) - (B12*150 + (B12*C12*0.25)*D12 + 2000000)</f>
        <v>905875</v>
      </c>
    </row>
    <row r="13" spans="1:5" ht="23" x14ac:dyDescent="0.25">
      <c r="A13" s="2" t="s">
        <v>24</v>
      </c>
      <c r="B13" s="4">
        <f>B11*0.95</f>
        <v>95000</v>
      </c>
      <c r="C13" s="14">
        <f>Вводные!B3</f>
        <v>750</v>
      </c>
      <c r="D13" s="11">
        <v>0.1</v>
      </c>
      <c r="E13" s="13">
        <f>(B13*C13*0.25) - (B13*150 + (B13*C13*0.25)*D13 + 2000000)</f>
        <v>-218750</v>
      </c>
    </row>
    <row r="22" spans="1:1" x14ac:dyDescent="0.2">
      <c r="A2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Вводные</vt:lpstr>
      <vt:lpstr>P&amp;L (расчёт)</vt:lpstr>
      <vt:lpstr>Сценарии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Mishkel</dc:creator>
  <cp:lastModifiedBy>Andrei Mishkel</cp:lastModifiedBy>
  <dcterms:created xsi:type="dcterms:W3CDTF">2026-05-23T11:04:12Z</dcterms:created>
  <dcterms:modified xsi:type="dcterms:W3CDTF">2026-05-23T12:10:27Z</dcterms:modified>
</cp:coreProperties>
</file>